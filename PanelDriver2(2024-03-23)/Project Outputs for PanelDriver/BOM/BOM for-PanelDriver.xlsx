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100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Wrk_Altium\Felix\PanelDriver2\Project Outputs for PanelDriver\BOM\"/>
    </mc:Choice>
  </mc:AlternateContent>
  <xr:revisionPtr revIDLastSave="0" documentId="8_{8FD37ED3-9ACA-4E19-B82B-39C1C0E5D6BF}" xr6:coauthVersionLast="38" xr6:coauthVersionMax="38" xr10:uidLastSave="{00000000-0000-0000-0000-000000000000}"/>
  <bookViews>
    <workbookView xWindow="0" yWindow="105" windowWidth="17190" windowHeight="7470" xr2:uid="{00000000-000D-0000-FFFF-FFFF00000000}"/>
  </bookViews>
  <sheets>
    <sheet name="BOM" sheetId="1" r:id="rId1"/>
  </sheets>
  <calcPr calcId="179021"/>
</workbook>
</file>

<file path=xl/calcChain.xml><?xml version="1.0" encoding="utf-8"?>
<calcChain xmlns="http://schemas.openxmlformats.org/spreadsheetml/2006/main">
  <c r="A41" i="1" l="1"/>
  <c r="A42" i="1" s="1"/>
  <c r="A43" i="1" s="1"/>
  <c r="A44" i="1" s="1"/>
  <c r="A25" i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17" i="1"/>
  <c r="A18" i="1" s="1"/>
  <c r="A19" i="1" s="1"/>
  <c r="A20" i="1" s="1"/>
  <c r="A21" i="1" s="1"/>
  <c r="A22" i="1" s="1"/>
  <c r="A23" i="1" s="1"/>
  <c r="A24" i="1" s="1"/>
  <c r="A13" i="1"/>
  <c r="A14" i="1" s="1"/>
  <c r="A15" i="1" s="1"/>
  <c r="A16" i="1" s="1"/>
  <c r="A11" i="1"/>
  <c r="A12" i="1" s="1"/>
  <c r="A9" i="1" l="1"/>
  <c r="A10" i="1" s="1"/>
  <c r="C46" i="1"/>
</calcChain>
</file>

<file path=xl/sharedStrings.xml><?xml version="1.0" encoding="utf-8"?>
<sst xmlns="http://schemas.openxmlformats.org/spreadsheetml/2006/main" count="225" uniqueCount="132">
  <si>
    <t>Component list</t>
  </si>
  <si>
    <t>Report Date:</t>
  </si>
  <si>
    <t>Name:</t>
  </si>
  <si>
    <t>PCB Rev:</t>
  </si>
  <si>
    <t>TOTAL PART COUNT:</t>
  </si>
  <si>
    <t>BOM Variant:</t>
  </si>
  <si>
    <t>PanelDriver.PrjPcb</t>
  </si>
  <si>
    <t>&lt;Parameter RevisionPCB not found&gt;</t>
  </si>
  <si>
    <t>None</t>
  </si>
  <si>
    <t>23.03.2024</t>
  </si>
  <si>
    <t>Designator</t>
  </si>
  <si>
    <t>C1, C12, C13, C18</t>
  </si>
  <si>
    <t>C2, C3, C4, C5, C6, C7, C8, C10, C11, C14</t>
  </si>
  <si>
    <t>C9</t>
  </si>
  <si>
    <t>C15, C19</t>
  </si>
  <si>
    <t>C16</t>
  </si>
  <si>
    <t>C17</t>
  </si>
  <si>
    <t>C20</t>
  </si>
  <si>
    <t>C21, C24, C25, C26, C27, C28, C29</t>
  </si>
  <si>
    <t>C22, C23</t>
  </si>
  <si>
    <t>D1, D2, D3</t>
  </si>
  <si>
    <t>D4</t>
  </si>
  <si>
    <t>D5</t>
  </si>
  <si>
    <t>J1</t>
  </si>
  <si>
    <t>L1</t>
  </si>
  <si>
    <t>LED1, LED2, LED3, LED4</t>
  </si>
  <si>
    <t>P1, P2</t>
  </si>
  <si>
    <t>P3, P4, P5</t>
  </si>
  <si>
    <t>P6</t>
  </si>
  <si>
    <t>P7</t>
  </si>
  <si>
    <t>Q1</t>
  </si>
  <si>
    <t>Q2</t>
  </si>
  <si>
    <t>Q3</t>
  </si>
  <si>
    <t>R1, R14, R17</t>
  </si>
  <si>
    <t>R2</t>
  </si>
  <si>
    <t>R3, R4, R9, R10, R13</t>
  </si>
  <si>
    <t>R5, R7</t>
  </si>
  <si>
    <t>R6, R8</t>
  </si>
  <si>
    <t>R11, R12</t>
  </si>
  <si>
    <t>R15, R16</t>
  </si>
  <si>
    <t>R18</t>
  </si>
  <si>
    <t>TF1</t>
  </si>
  <si>
    <t>U1</t>
  </si>
  <si>
    <t>U2</t>
  </si>
  <si>
    <t>U3</t>
  </si>
  <si>
    <t>U4</t>
  </si>
  <si>
    <t>Y1</t>
  </si>
  <si>
    <t>Quantity</t>
  </si>
  <si>
    <t>Footprint</t>
  </si>
  <si>
    <t>C0603</t>
  </si>
  <si>
    <t>C1206</t>
  </si>
  <si>
    <t>SOD123</t>
  </si>
  <si>
    <t>SOD-323</t>
  </si>
  <si>
    <t>PFC24/0.5MM</t>
  </si>
  <si>
    <t>CD43</t>
  </si>
  <si>
    <t>LED-0603-GREEN</t>
  </si>
  <si>
    <t>HDR1X2</t>
  </si>
  <si>
    <t>HDR1X4</t>
  </si>
  <si>
    <t>HDR1X5</t>
  </si>
  <si>
    <t>HDR1X16</t>
  </si>
  <si>
    <t>SOT323-3</t>
  </si>
  <si>
    <t>SOT-23</t>
  </si>
  <si>
    <t>R0603</t>
  </si>
  <si>
    <t>L-KLS1-TF-003-uSD</t>
  </si>
  <si>
    <t>TSSOP-20_0.65mm</t>
  </si>
  <si>
    <t>SO8</t>
  </si>
  <si>
    <t>SOT23-5</t>
  </si>
  <si>
    <t>TQFP100A</t>
  </si>
  <si>
    <t>HC-49/US-SMD</t>
  </si>
  <si>
    <t>Comment</t>
  </si>
  <si>
    <t>100nF</t>
  </si>
  <si>
    <t>1uF</t>
  </si>
  <si>
    <t>4.7uF</t>
  </si>
  <si>
    <t>100n</t>
  </si>
  <si>
    <t>22nF</t>
  </si>
  <si>
    <t>10uF</t>
  </si>
  <si>
    <t>22uF</t>
  </si>
  <si>
    <t>0.1uF</t>
  </si>
  <si>
    <t>12pF</t>
  </si>
  <si>
    <t>MBR0530</t>
  </si>
  <si>
    <t>1N4148WS</t>
  </si>
  <si>
    <t>1N4148W</t>
  </si>
  <si>
    <t>68uH</t>
  </si>
  <si>
    <t>GREEN</t>
  </si>
  <si>
    <t>Header 2</t>
  </si>
  <si>
    <t>Header 4</t>
  </si>
  <si>
    <t>Header 5</t>
  </si>
  <si>
    <t>Header 16</t>
  </si>
  <si>
    <t>Si1308EDL</t>
  </si>
  <si>
    <t>AO3401</t>
  </si>
  <si>
    <t>S8050</t>
  </si>
  <si>
    <t>10k</t>
  </si>
  <si>
    <t>3R</t>
  </si>
  <si>
    <t>1k</t>
  </si>
  <si>
    <t>47k</t>
  </si>
  <si>
    <t>100k</t>
  </si>
  <si>
    <t>6.8k</t>
  </si>
  <si>
    <t>1M</t>
  </si>
  <si>
    <t>SD CARD</t>
  </si>
  <si>
    <t>TXS0108EPWR</t>
  </si>
  <si>
    <t>23LC1024</t>
  </si>
  <si>
    <t>RT9193</t>
  </si>
  <si>
    <t>ATMEGA2560-16AU</t>
  </si>
  <si>
    <t>16MHz</t>
  </si>
  <si>
    <t>Manufacturer</t>
  </si>
  <si>
    <t>Any</t>
  </si>
  <si>
    <t>MOLEX</t>
  </si>
  <si>
    <t>KLS electronic co ltd</t>
  </si>
  <si>
    <t>Microchip Tech</t>
  </si>
  <si>
    <t>Manufacturer Part Number</t>
  </si>
  <si>
    <t>Description</t>
  </si>
  <si>
    <t>Capacitor</t>
  </si>
  <si>
    <t>16V 22uF X7R ±10% 1206  Multilayer Ceramic Capacitors MLCC - SMD/SMT ROHS</t>
  </si>
  <si>
    <t>25V 100nF X7R ±10% 0603  Multilayer Ceramic Capacitors MLCC - SMD/SMT ROHS</t>
  </si>
  <si>
    <t>50V 22pF X7R ±10% 0603  Multilayer Ceramic Capacitors MLCC - SMD/SMT ROHS</t>
  </si>
  <si>
    <t>1N4148W-E3-08, Rectifier Diode Small Signal Switching Si 100V 0.15A 4ns 2-Pin SOD-123 T/R</t>
  </si>
  <si>
    <t>24 Position FFC, FPC Connector Contacts, Bottom 0.020" (0.50mm) Surface Mount, Right Angle</t>
  </si>
  <si>
    <t>SMD, 4x4mm  Inductor</t>
  </si>
  <si>
    <t>0603  Light Emitting Diodes (LED) ROHS</t>
  </si>
  <si>
    <t>Header, 2-Pin</t>
  </si>
  <si>
    <t>Header, 4-Pin</t>
  </si>
  <si>
    <t>Header, 5-Pin</t>
  </si>
  <si>
    <t>Header, 16-Pin</t>
  </si>
  <si>
    <t>Resistor, 125mW Thick Film Resistors ±100ppm/℃ ±5% 10kΩ 0603  Chip Resistor - Surface Mount ROHS</t>
  </si>
  <si>
    <t>Resistor</t>
  </si>
  <si>
    <t>Resistor, 125mW Thick Film Resistors ±100ppm/℃ ±5% 1kΩ 0603  Chip Resistor - Surface Mount ROHS</t>
  </si>
  <si>
    <t>125mW Thick Film Resistors ±100ppm/℃ ±5% 6.8kΩ 0603  Chip Resistor - Surface Mount ROHS</t>
  </si>
  <si>
    <t>125mW Thick Film Resistors ±100ppm/℃ ±5% 22Ω 0603  Chip Resistor - Surface Mount ROHS</t>
  </si>
  <si>
    <t>125mW Thick Film Resistors ±100ppm/℃ ±5% 1M 0603  Chip Resistor - Surface Mount ROHS</t>
  </si>
  <si>
    <t>SDCARD</t>
  </si>
  <si>
    <t>256KB 4.5V~5.5V AVR 8KB 16MHz FLASH 86 TQFP-100(14x14)  Microcontroller Units (MCUs/MPUs/SOCs) ROHS</t>
  </si>
  <si>
    <t>Crystal 16MHz 12pF SMD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</si>
</sst>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0_);\-#,##0.00"/>
    <numFmt numFmtId="165" formatCode="0.000"/>
    <numFmt numFmtId="166" formatCode="0.0000"/>
    <numFmt numFmtId="167" formatCode="&quot;$&quot;#,##0.00"/>
  </numFmts>
  <fonts count="16">
    <font>
      <sz val="10"/>
      <color indexed="8"/>
      <name val="MS Sans Serif"/>
      <family val="2"/>
    </font>
    <font>
      <b/>
      <sz val="7.9"/>
      <color indexed="8"/>
      <name val="Arial"/>
      <family val="2"/>
    </font>
    <font>
      <sz val="8"/>
      <name val="MS Sans Serif"/>
      <family val="2"/>
    </font>
    <font>
      <sz val="10"/>
      <color indexed="8"/>
      <name val="Arial"/>
      <family val="2"/>
    </font>
    <font>
      <b/>
      <sz val="16"/>
      <color indexed="8"/>
      <name val="Arial"/>
      <family val="2"/>
    </font>
    <font>
      <b/>
      <sz val="10"/>
      <color indexed="8"/>
      <name val="Arial"/>
      <family val="2"/>
    </font>
    <font>
      <b/>
      <sz val="24"/>
      <color indexed="8"/>
      <name val="Polentical Neon"/>
      <family val="2"/>
    </font>
    <font>
      <b/>
      <sz val="12"/>
      <color indexed="8"/>
      <name val="Polentical Neon"/>
      <family val="2"/>
    </font>
    <font>
      <b/>
      <sz val="10"/>
      <color indexed="8"/>
      <name val="Polentical Neon"/>
      <family val="2"/>
    </font>
    <font>
      <sz val="10"/>
      <color indexed="8"/>
      <name val="Polentical Neon"/>
      <family val="2"/>
    </font>
    <font>
      <sz val="9"/>
      <color indexed="8"/>
      <name val="Polentical Neon"/>
      <family val="2"/>
    </font>
    <font>
      <sz val="12"/>
      <color indexed="8"/>
      <name val="Polentical Neon"/>
      <family val="2"/>
    </font>
    <font>
      <sz val="12"/>
      <color indexed="8"/>
      <name val="HelveticaNeueLT Pro 55 Roman"/>
      <family val="2"/>
    </font>
    <font>
      <sz val="10"/>
      <color indexed="8"/>
      <name val="HelveticaNeueLT Pro 55 Roman"/>
      <family val="2"/>
    </font>
    <font>
      <b/>
      <sz val="12"/>
      <color indexed="8"/>
      <name val="Polentical Neon"/>
      <charset val="204"/>
    </font>
    <font>
      <sz val="11"/>
      <color indexed="8"/>
      <name val="HelveticaNeueLT Pro 55 Roman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22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50">
    <xf numFmtId="0" fontId="0" fillId="0" borderId="0" xfId="0" applyNumberFormat="1" applyFill="1" applyBorder="1" applyAlignment="1" applyProtection="1"/>
    <xf numFmtId="0" fontId="3" fillId="0" borderId="0" xfId="0" applyNumberFormat="1" applyFont="1" applyFill="1" applyBorder="1" applyAlignment="1" applyProtection="1">
      <alignment horizontal="center" vertical="center" wrapText="1"/>
    </xf>
    <xf numFmtId="166" fontId="3" fillId="0" borderId="0" xfId="0" applyNumberFormat="1" applyFont="1" applyFill="1" applyBorder="1" applyAlignment="1" applyProtection="1">
      <alignment horizontal="center" vertical="center" wrapText="1"/>
    </xf>
    <xf numFmtId="165" fontId="3" fillId="0" borderId="0" xfId="0" applyNumberFormat="1" applyFont="1" applyFill="1" applyBorder="1" applyAlignment="1" applyProtection="1">
      <alignment horizontal="center" vertical="center" wrapText="1"/>
    </xf>
    <xf numFmtId="0" fontId="3" fillId="0" borderId="0" xfId="0" applyNumberFormat="1" applyFont="1" applyFill="1" applyBorder="1" applyAlignment="1" applyProtection="1"/>
    <xf numFmtId="0" fontId="1" fillId="0" borderId="0" xfId="0" applyFont="1" applyAlignment="1">
      <alignment horizontal="left" vertical="center"/>
    </xf>
    <xf numFmtId="0" fontId="3" fillId="0" borderId="0" xfId="0" applyNumberFormat="1" applyFont="1" applyFill="1" applyBorder="1" applyAlignment="1" applyProtection="1">
      <alignment wrapText="1"/>
    </xf>
    <xf numFmtId="165" fontId="4" fillId="0" borderId="0" xfId="0" applyNumberFormat="1" applyFont="1" applyFill="1" applyBorder="1" applyAlignment="1" applyProtection="1">
      <alignment horizontal="center" vertical="center" wrapText="1"/>
    </xf>
    <xf numFmtId="0" fontId="0" fillId="0" borderId="0" xfId="0" applyAlignment="1">
      <alignment vertical="top"/>
    </xf>
    <xf numFmtId="0" fontId="5" fillId="2" borderId="0" xfId="0" applyFont="1" applyFill="1" applyBorder="1" applyAlignment="1"/>
    <xf numFmtId="0" fontId="8" fillId="2" borderId="0" xfId="0" applyFont="1" applyFill="1" applyBorder="1" applyAlignment="1"/>
    <xf numFmtId="0" fontId="8" fillId="2" borderId="0" xfId="0" applyFont="1" applyFill="1" applyBorder="1" applyAlignment="1">
      <alignment horizontal="left"/>
    </xf>
    <xf numFmtId="0" fontId="9" fillId="2" borderId="0" xfId="0" applyFont="1" applyFill="1" applyBorder="1" applyAlignment="1"/>
    <xf numFmtId="0" fontId="7" fillId="4" borderId="3" xfId="0" applyFont="1" applyFill="1" applyBorder="1" applyAlignment="1">
      <alignment horizontal="center" vertical="center"/>
    </xf>
    <xf numFmtId="0" fontId="13" fillId="2" borderId="2" xfId="0" applyFont="1" applyFill="1" applyBorder="1" applyAlignment="1">
      <alignment horizontal="left"/>
    </xf>
    <xf numFmtId="3" fontId="12" fillId="0" borderId="0" xfId="0" applyNumberFormat="1" applyFont="1" applyFill="1" applyBorder="1" applyAlignment="1" applyProtection="1">
      <alignment horizontal="center"/>
    </xf>
    <xf numFmtId="0" fontId="11" fillId="0" borderId="0" xfId="0" applyNumberFormat="1" applyFont="1" applyFill="1" applyBorder="1" applyAlignment="1" applyProtection="1"/>
    <xf numFmtId="0" fontId="11" fillId="0" borderId="0" xfId="0" applyNumberFormat="1" applyFont="1" applyFill="1" applyBorder="1" applyAlignment="1" applyProtection="1">
      <alignment wrapText="1"/>
    </xf>
    <xf numFmtId="166" fontId="7" fillId="0" borderId="0" xfId="0" applyNumberFormat="1" applyFont="1" applyFill="1" applyBorder="1" applyAlignment="1" applyProtection="1">
      <alignment horizontal="center" vertical="center" wrapText="1"/>
    </xf>
    <xf numFmtId="167" fontId="12" fillId="0" borderId="0" xfId="0" applyNumberFormat="1" applyFont="1" applyFill="1" applyBorder="1" applyAlignment="1" applyProtection="1">
      <alignment horizontal="center" vertical="center" wrapText="1"/>
    </xf>
    <xf numFmtId="0" fontId="14" fillId="0" borderId="0" xfId="0" applyNumberFormat="1" applyFont="1" applyFill="1" applyBorder="1" applyAlignment="1" applyProtection="1">
      <alignment horizontal="center" vertical="top"/>
    </xf>
    <xf numFmtId="0" fontId="13" fillId="2" borderId="0" xfId="0" applyFont="1" applyFill="1" applyBorder="1" applyAlignment="1">
      <alignment horizontal="left"/>
    </xf>
    <xf numFmtId="0" fontId="3" fillId="0" borderId="0" xfId="0" applyNumberFormat="1" applyFont="1" applyFill="1" applyBorder="1" applyAlignment="1" applyProtection="1">
      <alignment horizontal="left" vertical="top"/>
    </xf>
    <xf numFmtId="0" fontId="12" fillId="0" borderId="0" xfId="0" applyFont="1" applyFill="1" applyBorder="1" applyAlignment="1">
      <alignment horizontal="left" vertical="top"/>
    </xf>
    <xf numFmtId="164" fontId="12" fillId="0" borderId="0" xfId="0" applyNumberFormat="1" applyFont="1" applyFill="1" applyBorder="1" applyAlignment="1">
      <alignment horizontal="left" vertical="top"/>
    </xf>
    <xf numFmtId="0" fontId="12" fillId="0" borderId="0" xfId="0" applyNumberFormat="1" applyFont="1" applyFill="1" applyBorder="1" applyAlignment="1" applyProtection="1">
      <alignment horizontal="left" vertical="top" wrapText="1"/>
    </xf>
    <xf numFmtId="167" fontId="12" fillId="0" borderId="0" xfId="0" applyNumberFormat="1" applyFont="1" applyFill="1" applyBorder="1" applyAlignment="1" applyProtection="1">
      <alignment horizontal="left" vertical="top" wrapText="1"/>
    </xf>
    <xf numFmtId="0" fontId="0" fillId="0" borderId="0" xfId="0" applyBorder="1" applyAlignment="1">
      <alignment vertical="top"/>
    </xf>
    <xf numFmtId="0" fontId="0" fillId="0" borderId="6" xfId="0" applyBorder="1" applyAlignment="1">
      <alignment vertical="top"/>
    </xf>
    <xf numFmtId="0" fontId="8" fillId="2" borderId="7" xfId="0" applyFont="1" applyFill="1" applyBorder="1" applyAlignment="1"/>
    <xf numFmtId="0" fontId="9" fillId="2" borderId="2" xfId="0" applyFont="1" applyFill="1" applyBorder="1" applyAlignment="1"/>
    <xf numFmtId="0" fontId="6" fillId="2" borderId="2" xfId="0" applyFont="1" applyFill="1" applyBorder="1" applyAlignment="1">
      <alignment horizontal="left" vertical="center"/>
    </xf>
    <xf numFmtId="0" fontId="6" fillId="2" borderId="2" xfId="0" applyNumberFormat="1" applyFont="1" applyFill="1" applyBorder="1" applyAlignment="1">
      <alignment horizontal="left" vertical="center"/>
    </xf>
    <xf numFmtId="0" fontId="5" fillId="2" borderId="0" xfId="0" applyNumberFormat="1" applyFont="1" applyFill="1" applyBorder="1" applyAlignment="1"/>
    <xf numFmtId="0" fontId="3" fillId="2" borderId="0" xfId="0" applyNumberFormat="1" applyFont="1" applyFill="1" applyBorder="1" applyAlignment="1"/>
    <xf numFmtId="0" fontId="8" fillId="2" borderId="1" xfId="0" applyNumberFormat="1" applyFont="1" applyFill="1" applyBorder="1" applyAlignment="1">
      <alignment horizontal="left"/>
    </xf>
    <xf numFmtId="0" fontId="10" fillId="2" borderId="0" xfId="0" applyNumberFormat="1" applyFont="1" applyFill="1" applyBorder="1" applyAlignment="1"/>
    <xf numFmtId="0" fontId="7" fillId="4" borderId="5" xfId="0" applyNumberFormat="1" applyFont="1" applyFill="1" applyBorder="1" applyAlignment="1">
      <alignment horizontal="center" vertical="center"/>
    </xf>
    <xf numFmtId="0" fontId="1" fillId="0" borderId="0" xfId="0" applyNumberFormat="1" applyFont="1" applyAlignment="1">
      <alignment horizontal="left" vertical="center" wrapText="1"/>
    </xf>
    <xf numFmtId="0" fontId="15" fillId="3" borderId="3" xfId="0" applyFont="1" applyFill="1" applyBorder="1" applyAlignment="1">
      <alignment horizontal="left" vertical="center" wrapText="1" indent="2"/>
    </xf>
    <xf numFmtId="0" fontId="15" fillId="3" borderId="4" xfId="0" applyFont="1" applyFill="1" applyBorder="1" applyAlignment="1">
      <alignment horizontal="left" vertical="center" wrapText="1" indent="2"/>
    </xf>
    <xf numFmtId="0" fontId="15" fillId="3" borderId="3" xfId="0" applyNumberFormat="1" applyFont="1" applyFill="1" applyBorder="1" applyAlignment="1">
      <alignment horizontal="left" vertical="center" wrapText="1" indent="2"/>
    </xf>
    <xf numFmtId="0" fontId="15" fillId="2" borderId="3" xfId="0" applyFont="1" applyFill="1" applyBorder="1" applyAlignment="1">
      <alignment horizontal="left" vertical="center" wrapText="1" indent="2"/>
    </xf>
    <xf numFmtId="0" fontId="15" fillId="2" borderId="4" xfId="0" applyFont="1" applyFill="1" applyBorder="1" applyAlignment="1">
      <alignment horizontal="left" vertical="center" wrapText="1" indent="2"/>
    </xf>
    <xf numFmtId="0" fontId="15" fillId="2" borderId="3" xfId="0" applyNumberFormat="1" applyFont="1" applyFill="1" applyBorder="1" applyAlignment="1">
      <alignment horizontal="left" vertical="center" wrapText="1" indent="2"/>
    </xf>
    <xf numFmtId="0" fontId="6" fillId="2" borderId="0" xfId="0" applyFont="1" applyFill="1" applyBorder="1" applyAlignment="1">
      <alignment horizontal="center" vertical="center"/>
    </xf>
    <xf numFmtId="0" fontId="10" fillId="2" borderId="2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/>
    </xf>
    <xf numFmtId="0" fontId="8" fillId="2" borderId="0" xfId="0" quotePrefix="1" applyFont="1" applyFill="1" applyBorder="1" applyAlignment="1">
      <alignment horizontal="left"/>
    </xf>
    <xf numFmtId="0" fontId="13" fillId="2" borderId="2" xfId="0" quotePrefix="1" applyFont="1" applyFill="1" applyBorder="1" applyAlignment="1">
      <alignment horizontal="left"/>
    </xf>
  </cellXfs>
  <cellStyles count="1">
    <cellStyle name="Обычный" xfId="0" builtinId="0"/>
  </cellStyles>
  <dxfs count="2">
    <dxf>
      <font>
        <condense val="0"/>
        <extend val="0"/>
        <color indexed="10"/>
      </font>
    </dxf>
    <dxf>
      <font>
        <condense val="0"/>
        <extend val="0"/>
        <color indexed="10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L49"/>
  <sheetViews>
    <sheetView tabSelected="1" zoomScale="75" zoomScaleNormal="75" workbookViewId="0">
      <selection activeCell="A9" sqref="A9:H11"/>
    </sheetView>
  </sheetViews>
  <sheetFormatPr defaultColWidth="11.42578125" defaultRowHeight="12.75"/>
  <cols>
    <col min="1" max="1" width="6" style="4" customWidth="1"/>
    <col min="2" max="2" width="35.42578125" style="4" customWidth="1"/>
    <col min="3" max="3" width="9.5703125" style="4" customWidth="1"/>
    <col min="4" max="4" width="25.5703125" style="4" customWidth="1"/>
    <col min="5" max="5" width="28.7109375" style="6" customWidth="1"/>
    <col min="6" max="6" width="36" style="4" customWidth="1"/>
    <col min="7" max="7" width="39.28515625" style="4" customWidth="1"/>
    <col min="8" max="8" width="68.42578125" style="4" customWidth="1"/>
    <col min="9" max="9" width="12.7109375" style="4" customWidth="1"/>
    <col min="10" max="10" width="14.28515625" style="1" customWidth="1"/>
    <col min="11" max="11" width="18.28515625" style="1" customWidth="1"/>
    <col min="12" max="12" width="12.85546875" style="4" customWidth="1"/>
    <col min="13" max="16384" width="11.42578125" style="4"/>
  </cols>
  <sheetData>
    <row r="1" spans="1:11" s="8" customFormat="1" ht="37.5" customHeight="1">
      <c r="A1" s="27"/>
      <c r="B1" s="31" t="s">
        <v>0</v>
      </c>
      <c r="C1" s="31"/>
      <c r="D1" s="31"/>
      <c r="E1" s="32"/>
      <c r="F1" s="45"/>
      <c r="G1" s="45"/>
      <c r="H1" s="45"/>
    </row>
    <row r="2" spans="1:11" s="8" customFormat="1" ht="23.25" customHeight="1">
      <c r="A2" s="10"/>
      <c r="B2" s="10" t="s">
        <v>2</v>
      </c>
      <c r="C2" s="48" t="s">
        <v>6</v>
      </c>
      <c r="D2" s="10"/>
      <c r="E2" s="33"/>
      <c r="F2" s="45"/>
      <c r="G2" s="45"/>
      <c r="H2" s="45"/>
    </row>
    <row r="3" spans="1:11" s="8" customFormat="1" ht="17.25" customHeight="1">
      <c r="A3" s="10"/>
      <c r="B3" s="10" t="s">
        <v>3</v>
      </c>
      <c r="C3" s="11" t="s">
        <v>7</v>
      </c>
      <c r="D3" s="12"/>
      <c r="E3" s="34"/>
      <c r="F3" s="45"/>
      <c r="G3" s="45"/>
      <c r="H3" s="45"/>
    </row>
    <row r="4" spans="1:11" s="8" customFormat="1" ht="17.25" customHeight="1">
      <c r="A4" s="27"/>
      <c r="B4" s="10" t="s">
        <v>5</v>
      </c>
      <c r="C4" s="48" t="s">
        <v>8</v>
      </c>
      <c r="D4" s="12"/>
      <c r="E4" s="34"/>
      <c r="F4" s="45"/>
      <c r="G4" s="45"/>
      <c r="H4" s="45"/>
    </row>
    <row r="5" spans="1:11" s="8" customFormat="1">
      <c r="A5" s="10"/>
      <c r="B5" s="9"/>
      <c r="C5" s="9"/>
      <c r="D5" s="10"/>
      <c r="E5" s="35"/>
      <c r="F5" s="45"/>
      <c r="G5" s="45"/>
      <c r="H5" s="45"/>
    </row>
    <row r="6" spans="1:11" s="8" customFormat="1" ht="15.75" customHeight="1">
      <c r="A6" s="28"/>
      <c r="B6" s="30" t="s">
        <v>1</v>
      </c>
      <c r="C6" s="49" t="s">
        <v>9</v>
      </c>
      <c r="D6" s="14"/>
      <c r="E6" s="36"/>
      <c r="F6" s="46"/>
      <c r="G6" s="46"/>
      <c r="H6" s="46"/>
    </row>
    <row r="7" spans="1:11" s="8" customFormat="1" ht="15.75" customHeight="1">
      <c r="A7" s="29"/>
      <c r="B7" s="12"/>
      <c r="C7" s="21"/>
      <c r="D7" s="21"/>
      <c r="E7" s="36"/>
      <c r="F7" s="47"/>
      <c r="G7" s="47"/>
      <c r="H7" s="47"/>
    </row>
    <row r="8" spans="1:11" ht="35.25" customHeight="1">
      <c r="A8" s="13"/>
      <c r="B8" s="13" t="s">
        <v>10</v>
      </c>
      <c r="C8" s="13" t="s">
        <v>47</v>
      </c>
      <c r="D8" s="13" t="s">
        <v>48</v>
      </c>
      <c r="E8" s="37" t="s">
        <v>69</v>
      </c>
      <c r="F8" s="13" t="s">
        <v>104</v>
      </c>
      <c r="G8" s="13" t="s">
        <v>109</v>
      </c>
      <c r="H8" s="13" t="s">
        <v>110</v>
      </c>
      <c r="J8" s="4"/>
      <c r="K8" s="4"/>
    </row>
    <row r="9" spans="1:11" s="22" customFormat="1" ht="14.25">
      <c r="A9" s="39">
        <f>A8+1</f>
        <v>1</v>
      </c>
      <c r="B9" s="39" t="s">
        <v>11</v>
      </c>
      <c r="C9" s="40">
        <v>4</v>
      </c>
      <c r="D9" s="39" t="s">
        <v>49</v>
      </c>
      <c r="E9" s="41" t="s">
        <v>70</v>
      </c>
      <c r="F9" s="39" t="s">
        <v>105</v>
      </c>
      <c r="G9" s="39" t="s">
        <v>105</v>
      </c>
      <c r="H9" s="39" t="s">
        <v>111</v>
      </c>
    </row>
    <row r="10" spans="1:11" s="22" customFormat="1" ht="28.5">
      <c r="A10" s="42">
        <f>A9+1</f>
        <v>2</v>
      </c>
      <c r="B10" s="42" t="s">
        <v>12</v>
      </c>
      <c r="C10" s="43">
        <v>10</v>
      </c>
      <c r="D10" s="42" t="s">
        <v>49</v>
      </c>
      <c r="E10" s="44" t="s">
        <v>71</v>
      </c>
      <c r="F10" s="42" t="s">
        <v>105</v>
      </c>
      <c r="G10" s="42" t="s">
        <v>105</v>
      </c>
      <c r="H10" s="42" t="s">
        <v>111</v>
      </c>
    </row>
    <row r="11" spans="1:11" s="22" customFormat="1" ht="14.25">
      <c r="A11" s="39">
        <f>A10+1</f>
        <v>3</v>
      </c>
      <c r="B11" s="39" t="s">
        <v>13</v>
      </c>
      <c r="C11" s="40">
        <v>1</v>
      </c>
      <c r="D11" s="39" t="s">
        <v>49</v>
      </c>
      <c r="E11" s="41" t="s">
        <v>72</v>
      </c>
      <c r="F11" s="39" t="s">
        <v>105</v>
      </c>
      <c r="G11" s="39" t="s">
        <v>105</v>
      </c>
      <c r="H11" s="39" t="s">
        <v>111</v>
      </c>
    </row>
    <row r="12" spans="1:11" s="22" customFormat="1" ht="14.25">
      <c r="A12" s="42">
        <f>A11+1</f>
        <v>4</v>
      </c>
      <c r="B12" s="42" t="s">
        <v>14</v>
      </c>
      <c r="C12" s="43">
        <v>2</v>
      </c>
      <c r="D12" s="42" t="s">
        <v>49</v>
      </c>
      <c r="E12" s="44" t="s">
        <v>73</v>
      </c>
      <c r="F12" s="42" t="s">
        <v>105</v>
      </c>
      <c r="G12" s="42" t="s">
        <v>105</v>
      </c>
      <c r="H12" s="42" t="s">
        <v>111</v>
      </c>
    </row>
    <row r="13" spans="1:11" s="22" customFormat="1" ht="14.25">
      <c r="A13" s="39">
        <f>A12+1</f>
        <v>5</v>
      </c>
      <c r="B13" s="39" t="s">
        <v>15</v>
      </c>
      <c r="C13" s="40">
        <v>1</v>
      </c>
      <c r="D13" s="39" t="s">
        <v>49</v>
      </c>
      <c r="E13" s="41" t="s">
        <v>74</v>
      </c>
      <c r="F13" s="39" t="s">
        <v>105</v>
      </c>
      <c r="G13" s="39" t="s">
        <v>105</v>
      </c>
      <c r="H13" s="39" t="s">
        <v>111</v>
      </c>
    </row>
    <row r="14" spans="1:11" s="22" customFormat="1" ht="14.25">
      <c r="A14" s="42">
        <f>A13+1</f>
        <v>6</v>
      </c>
      <c r="B14" s="42" t="s">
        <v>16</v>
      </c>
      <c r="C14" s="43">
        <v>1</v>
      </c>
      <c r="D14" s="42" t="s">
        <v>49</v>
      </c>
      <c r="E14" s="44" t="s">
        <v>75</v>
      </c>
      <c r="F14" s="42" t="s">
        <v>105</v>
      </c>
      <c r="G14" s="42" t="s">
        <v>105</v>
      </c>
      <c r="H14" s="42" t="s">
        <v>111</v>
      </c>
    </row>
    <row r="15" spans="1:11" s="22" customFormat="1" ht="28.5">
      <c r="A15" s="39">
        <f>A14+1</f>
        <v>7</v>
      </c>
      <c r="B15" s="39" t="s">
        <v>17</v>
      </c>
      <c r="C15" s="40">
        <v>1</v>
      </c>
      <c r="D15" s="39" t="s">
        <v>50</v>
      </c>
      <c r="E15" s="41" t="s">
        <v>76</v>
      </c>
      <c r="F15" s="39" t="s">
        <v>105</v>
      </c>
      <c r="G15" s="39" t="s">
        <v>105</v>
      </c>
      <c r="H15" s="39" t="s">
        <v>112</v>
      </c>
    </row>
    <row r="16" spans="1:11" s="22" customFormat="1" ht="28.5">
      <c r="A16" s="42">
        <f>A15+1</f>
        <v>8</v>
      </c>
      <c r="B16" s="42" t="s">
        <v>18</v>
      </c>
      <c r="C16" s="43">
        <v>7</v>
      </c>
      <c r="D16" s="42" t="s">
        <v>49</v>
      </c>
      <c r="E16" s="44" t="s">
        <v>77</v>
      </c>
      <c r="F16" s="42" t="s">
        <v>105</v>
      </c>
      <c r="G16" s="42" t="s">
        <v>105</v>
      </c>
      <c r="H16" s="42" t="s">
        <v>113</v>
      </c>
    </row>
    <row r="17" spans="1:8" s="22" customFormat="1" ht="28.5">
      <c r="A17" s="39">
        <f>A16+1</f>
        <v>9</v>
      </c>
      <c r="B17" s="39" t="s">
        <v>19</v>
      </c>
      <c r="C17" s="40">
        <v>2</v>
      </c>
      <c r="D17" s="39" t="s">
        <v>49</v>
      </c>
      <c r="E17" s="41" t="s">
        <v>78</v>
      </c>
      <c r="F17" s="39" t="s">
        <v>105</v>
      </c>
      <c r="G17" s="39" t="s">
        <v>105</v>
      </c>
      <c r="H17" s="39" t="s">
        <v>114</v>
      </c>
    </row>
    <row r="18" spans="1:8" s="22" customFormat="1" ht="14.25">
      <c r="A18" s="42">
        <f>A17+1</f>
        <v>10</v>
      </c>
      <c r="B18" s="42" t="s">
        <v>20</v>
      </c>
      <c r="C18" s="43">
        <v>3</v>
      </c>
      <c r="D18" s="42" t="s">
        <v>51</v>
      </c>
      <c r="E18" s="44" t="s">
        <v>79</v>
      </c>
      <c r="F18" s="42" t="s">
        <v>105</v>
      </c>
      <c r="G18" s="42" t="s">
        <v>79</v>
      </c>
      <c r="H18" s="42" t="s">
        <v>79</v>
      </c>
    </row>
    <row r="19" spans="1:8" s="22" customFormat="1" ht="14.25">
      <c r="A19" s="39">
        <f>A18+1</f>
        <v>11</v>
      </c>
      <c r="B19" s="39" t="s">
        <v>21</v>
      </c>
      <c r="C19" s="40">
        <v>1</v>
      </c>
      <c r="D19" s="39" t="s">
        <v>52</v>
      </c>
      <c r="E19" s="41" t="s">
        <v>80</v>
      </c>
      <c r="F19" s="39" t="s">
        <v>105</v>
      </c>
      <c r="G19" s="39" t="s">
        <v>80</v>
      </c>
      <c r="H19" s="39" t="s">
        <v>80</v>
      </c>
    </row>
    <row r="20" spans="1:8" s="22" customFormat="1" ht="28.5">
      <c r="A20" s="42">
        <f>A19+1</f>
        <v>12</v>
      </c>
      <c r="B20" s="42" t="s">
        <v>22</v>
      </c>
      <c r="C20" s="43">
        <v>1</v>
      </c>
      <c r="D20" s="42" t="s">
        <v>51</v>
      </c>
      <c r="E20" s="44" t="s">
        <v>81</v>
      </c>
      <c r="F20" s="42" t="s">
        <v>105</v>
      </c>
      <c r="G20" s="42" t="s">
        <v>105</v>
      </c>
      <c r="H20" s="42" t="s">
        <v>115</v>
      </c>
    </row>
    <row r="21" spans="1:8" s="22" customFormat="1" ht="28.5">
      <c r="A21" s="39">
        <f>A20+1</f>
        <v>13</v>
      </c>
      <c r="B21" s="39" t="s">
        <v>23</v>
      </c>
      <c r="C21" s="40">
        <v>1</v>
      </c>
      <c r="D21" s="39" t="s">
        <v>53</v>
      </c>
      <c r="E21" s="41" t="s">
        <v>53</v>
      </c>
      <c r="F21" s="39" t="s">
        <v>106</v>
      </c>
      <c r="G21" s="39">
        <v>524372471</v>
      </c>
      <c r="H21" s="39" t="s">
        <v>116</v>
      </c>
    </row>
    <row r="22" spans="1:8" s="22" customFormat="1" ht="14.25">
      <c r="A22" s="42">
        <f>A21+1</f>
        <v>14</v>
      </c>
      <c r="B22" s="42" t="s">
        <v>24</v>
      </c>
      <c r="C22" s="43">
        <v>1</v>
      </c>
      <c r="D22" s="42" t="s">
        <v>54</v>
      </c>
      <c r="E22" s="44" t="s">
        <v>82</v>
      </c>
      <c r="F22" s="42" t="s">
        <v>105</v>
      </c>
      <c r="G22" s="42" t="s">
        <v>105</v>
      </c>
      <c r="H22" s="42" t="s">
        <v>117</v>
      </c>
    </row>
    <row r="23" spans="1:8" s="22" customFormat="1" ht="14.25">
      <c r="A23" s="39">
        <f>A22+1</f>
        <v>15</v>
      </c>
      <c r="B23" s="39" t="s">
        <v>25</v>
      </c>
      <c r="C23" s="40">
        <v>4</v>
      </c>
      <c r="D23" s="39" t="s">
        <v>55</v>
      </c>
      <c r="E23" s="41" t="s">
        <v>83</v>
      </c>
      <c r="F23" s="39" t="s">
        <v>105</v>
      </c>
      <c r="G23" s="39" t="s">
        <v>105</v>
      </c>
      <c r="H23" s="39" t="s">
        <v>118</v>
      </c>
    </row>
    <row r="24" spans="1:8" s="22" customFormat="1" ht="14.25">
      <c r="A24" s="42">
        <f>A23+1</f>
        <v>16</v>
      </c>
      <c r="B24" s="42" t="s">
        <v>26</v>
      </c>
      <c r="C24" s="43">
        <v>2</v>
      </c>
      <c r="D24" s="42" t="s">
        <v>56</v>
      </c>
      <c r="E24" s="44" t="s">
        <v>84</v>
      </c>
      <c r="F24" s="42"/>
      <c r="G24" s="42"/>
      <c r="H24" s="42" t="s">
        <v>119</v>
      </c>
    </row>
    <row r="25" spans="1:8" s="22" customFormat="1" ht="14.25">
      <c r="A25" s="39">
        <f>A24+1</f>
        <v>17</v>
      </c>
      <c r="B25" s="39" t="s">
        <v>27</v>
      </c>
      <c r="C25" s="40">
        <v>3</v>
      </c>
      <c r="D25" s="39" t="s">
        <v>57</v>
      </c>
      <c r="E25" s="41" t="s">
        <v>85</v>
      </c>
      <c r="F25" s="39"/>
      <c r="G25" s="39"/>
      <c r="H25" s="39" t="s">
        <v>120</v>
      </c>
    </row>
    <row r="26" spans="1:8" s="22" customFormat="1" ht="14.25">
      <c r="A26" s="42">
        <f>A25+1</f>
        <v>18</v>
      </c>
      <c r="B26" s="42" t="s">
        <v>28</v>
      </c>
      <c r="C26" s="43">
        <v>1</v>
      </c>
      <c r="D26" s="42" t="s">
        <v>58</v>
      </c>
      <c r="E26" s="44" t="s">
        <v>86</v>
      </c>
      <c r="F26" s="42" t="s">
        <v>105</v>
      </c>
      <c r="G26" s="42" t="s">
        <v>105</v>
      </c>
      <c r="H26" s="42" t="s">
        <v>121</v>
      </c>
    </row>
    <row r="27" spans="1:8" s="22" customFormat="1" ht="14.25">
      <c r="A27" s="39">
        <f>A26+1</f>
        <v>19</v>
      </c>
      <c r="B27" s="39" t="s">
        <v>29</v>
      </c>
      <c r="C27" s="40">
        <v>1</v>
      </c>
      <c r="D27" s="39" t="s">
        <v>59</v>
      </c>
      <c r="E27" s="41" t="s">
        <v>87</v>
      </c>
      <c r="F27" s="39"/>
      <c r="G27" s="39"/>
      <c r="H27" s="39" t="s">
        <v>122</v>
      </c>
    </row>
    <row r="28" spans="1:8" s="22" customFormat="1" ht="14.25">
      <c r="A28" s="42">
        <f>A27+1</f>
        <v>20</v>
      </c>
      <c r="B28" s="42" t="s">
        <v>30</v>
      </c>
      <c r="C28" s="43">
        <v>1</v>
      </c>
      <c r="D28" s="42" t="s">
        <v>60</v>
      </c>
      <c r="E28" s="44" t="s">
        <v>88</v>
      </c>
      <c r="F28" s="42" t="s">
        <v>105</v>
      </c>
      <c r="G28" s="42" t="s">
        <v>88</v>
      </c>
      <c r="H28" s="42" t="s">
        <v>88</v>
      </c>
    </row>
    <row r="29" spans="1:8" s="22" customFormat="1" ht="14.25">
      <c r="A29" s="39">
        <f>A28+1</f>
        <v>21</v>
      </c>
      <c r="B29" s="39" t="s">
        <v>31</v>
      </c>
      <c r="C29" s="40">
        <v>1</v>
      </c>
      <c r="D29" s="39" t="s">
        <v>61</v>
      </c>
      <c r="E29" s="41" t="s">
        <v>89</v>
      </c>
      <c r="F29" s="39" t="s">
        <v>105</v>
      </c>
      <c r="G29" s="39" t="s">
        <v>89</v>
      </c>
      <c r="H29" s="39" t="s">
        <v>89</v>
      </c>
    </row>
    <row r="30" spans="1:8" s="22" customFormat="1" ht="14.25">
      <c r="A30" s="42">
        <f>A29+1</f>
        <v>22</v>
      </c>
      <c r="B30" s="42" t="s">
        <v>32</v>
      </c>
      <c r="C30" s="43">
        <v>1</v>
      </c>
      <c r="D30" s="42" t="s">
        <v>61</v>
      </c>
      <c r="E30" s="44" t="s">
        <v>90</v>
      </c>
      <c r="F30" s="42" t="s">
        <v>105</v>
      </c>
      <c r="G30" s="42" t="s">
        <v>90</v>
      </c>
      <c r="H30" s="42" t="s">
        <v>90</v>
      </c>
    </row>
    <row r="31" spans="1:8" s="22" customFormat="1" ht="28.5">
      <c r="A31" s="39">
        <f>A30+1</f>
        <v>23</v>
      </c>
      <c r="B31" s="39" t="s">
        <v>33</v>
      </c>
      <c r="C31" s="40">
        <v>3</v>
      </c>
      <c r="D31" s="39" t="s">
        <v>62</v>
      </c>
      <c r="E31" s="41" t="s">
        <v>91</v>
      </c>
      <c r="F31" s="39" t="s">
        <v>105</v>
      </c>
      <c r="G31" s="39" t="s">
        <v>105</v>
      </c>
      <c r="H31" s="39" t="s">
        <v>123</v>
      </c>
    </row>
    <row r="32" spans="1:8" s="22" customFormat="1" ht="14.25">
      <c r="A32" s="42">
        <f>A31+1</f>
        <v>24</v>
      </c>
      <c r="B32" s="42" t="s">
        <v>34</v>
      </c>
      <c r="C32" s="43">
        <v>1</v>
      </c>
      <c r="D32" s="42" t="s">
        <v>62</v>
      </c>
      <c r="E32" s="44" t="s">
        <v>92</v>
      </c>
      <c r="F32" s="42" t="s">
        <v>105</v>
      </c>
      <c r="G32" s="42" t="s">
        <v>105</v>
      </c>
      <c r="H32" s="42" t="s">
        <v>124</v>
      </c>
    </row>
    <row r="33" spans="1:12" s="22" customFormat="1" ht="28.5">
      <c r="A33" s="39">
        <f>A32+1</f>
        <v>25</v>
      </c>
      <c r="B33" s="39" t="s">
        <v>35</v>
      </c>
      <c r="C33" s="40">
        <v>5</v>
      </c>
      <c r="D33" s="39" t="s">
        <v>62</v>
      </c>
      <c r="E33" s="41" t="s">
        <v>93</v>
      </c>
      <c r="F33" s="39" t="s">
        <v>105</v>
      </c>
      <c r="G33" s="39" t="s">
        <v>105</v>
      </c>
      <c r="H33" s="39" t="s">
        <v>125</v>
      </c>
    </row>
    <row r="34" spans="1:12" s="22" customFormat="1" ht="14.25">
      <c r="A34" s="42">
        <f>A33+1</f>
        <v>26</v>
      </c>
      <c r="B34" s="42" t="s">
        <v>36</v>
      </c>
      <c r="C34" s="43">
        <v>2</v>
      </c>
      <c r="D34" s="42" t="s">
        <v>62</v>
      </c>
      <c r="E34" s="44" t="s">
        <v>94</v>
      </c>
      <c r="F34" s="42" t="s">
        <v>105</v>
      </c>
      <c r="G34" s="42" t="s">
        <v>105</v>
      </c>
      <c r="H34" s="42" t="s">
        <v>124</v>
      </c>
    </row>
    <row r="35" spans="1:12" s="22" customFormat="1" ht="14.25">
      <c r="A35" s="39">
        <f>A34+1</f>
        <v>27</v>
      </c>
      <c r="B35" s="39" t="s">
        <v>37</v>
      </c>
      <c r="C35" s="40">
        <v>2</v>
      </c>
      <c r="D35" s="39" t="s">
        <v>62</v>
      </c>
      <c r="E35" s="41" t="s">
        <v>95</v>
      </c>
      <c r="F35" s="39" t="s">
        <v>105</v>
      </c>
      <c r="G35" s="39" t="s">
        <v>105</v>
      </c>
      <c r="H35" s="39" t="s">
        <v>124</v>
      </c>
    </row>
    <row r="36" spans="1:12" s="22" customFormat="1" ht="28.5">
      <c r="A36" s="42">
        <f>A35+1</f>
        <v>28</v>
      </c>
      <c r="B36" s="42" t="s">
        <v>38</v>
      </c>
      <c r="C36" s="43">
        <v>2</v>
      </c>
      <c r="D36" s="42" t="s">
        <v>62</v>
      </c>
      <c r="E36" s="44" t="s">
        <v>96</v>
      </c>
      <c r="F36" s="42" t="s">
        <v>105</v>
      </c>
      <c r="G36" s="42" t="s">
        <v>105</v>
      </c>
      <c r="H36" s="42" t="s">
        <v>126</v>
      </c>
    </row>
    <row r="37" spans="1:12" s="22" customFormat="1" ht="28.5">
      <c r="A37" s="39">
        <f>A36+1</f>
        <v>29</v>
      </c>
      <c r="B37" s="39" t="s">
        <v>39</v>
      </c>
      <c r="C37" s="40">
        <v>2</v>
      </c>
      <c r="D37" s="39" t="s">
        <v>62</v>
      </c>
      <c r="E37" s="41">
        <v>22</v>
      </c>
      <c r="F37" s="39" t="s">
        <v>105</v>
      </c>
      <c r="G37" s="39" t="s">
        <v>105</v>
      </c>
      <c r="H37" s="39" t="s">
        <v>127</v>
      </c>
    </row>
    <row r="38" spans="1:12" s="22" customFormat="1" ht="28.5">
      <c r="A38" s="42">
        <f>A37+1</f>
        <v>30</v>
      </c>
      <c r="B38" s="42" t="s">
        <v>40</v>
      </c>
      <c r="C38" s="43">
        <v>1</v>
      </c>
      <c r="D38" s="42" t="s">
        <v>62</v>
      </c>
      <c r="E38" s="44" t="s">
        <v>97</v>
      </c>
      <c r="F38" s="42" t="s">
        <v>105</v>
      </c>
      <c r="G38" s="42" t="s">
        <v>105</v>
      </c>
      <c r="H38" s="42" t="s">
        <v>128</v>
      </c>
    </row>
    <row r="39" spans="1:12" s="22" customFormat="1" ht="14.25">
      <c r="A39" s="39">
        <f>A38+1</f>
        <v>31</v>
      </c>
      <c r="B39" s="39" t="s">
        <v>41</v>
      </c>
      <c r="C39" s="40">
        <v>1</v>
      </c>
      <c r="D39" s="39" t="s">
        <v>63</v>
      </c>
      <c r="E39" s="41" t="s">
        <v>98</v>
      </c>
      <c r="F39" s="39" t="s">
        <v>107</v>
      </c>
      <c r="G39" s="39" t="s">
        <v>63</v>
      </c>
      <c r="H39" s="39" t="s">
        <v>129</v>
      </c>
    </row>
    <row r="40" spans="1:12" s="22" customFormat="1" ht="14.25">
      <c r="A40" s="42">
        <f>A39+1</f>
        <v>32</v>
      </c>
      <c r="B40" s="42" t="s">
        <v>42</v>
      </c>
      <c r="C40" s="43">
        <v>1</v>
      </c>
      <c r="D40" s="42" t="s">
        <v>64</v>
      </c>
      <c r="E40" s="44" t="s">
        <v>99</v>
      </c>
      <c r="F40" s="42" t="s">
        <v>105</v>
      </c>
      <c r="G40" s="42" t="s">
        <v>99</v>
      </c>
      <c r="H40" s="42" t="s">
        <v>99</v>
      </c>
    </row>
    <row r="41" spans="1:12" s="22" customFormat="1" ht="14.25">
      <c r="A41" s="39">
        <f>A40+1</f>
        <v>33</v>
      </c>
      <c r="B41" s="39" t="s">
        <v>43</v>
      </c>
      <c r="C41" s="40">
        <v>1</v>
      </c>
      <c r="D41" s="39" t="s">
        <v>65</v>
      </c>
      <c r="E41" s="41" t="s">
        <v>100</v>
      </c>
      <c r="F41" s="39" t="s">
        <v>105</v>
      </c>
      <c r="G41" s="39" t="s">
        <v>100</v>
      </c>
      <c r="H41" s="39" t="s">
        <v>100</v>
      </c>
    </row>
    <row r="42" spans="1:12" s="22" customFormat="1" ht="14.25">
      <c r="A42" s="42">
        <f>A41+1</f>
        <v>34</v>
      </c>
      <c r="B42" s="42" t="s">
        <v>44</v>
      </c>
      <c r="C42" s="43">
        <v>1</v>
      </c>
      <c r="D42" s="42" t="s">
        <v>66</v>
      </c>
      <c r="E42" s="44" t="s">
        <v>101</v>
      </c>
      <c r="F42" s="42" t="s">
        <v>105</v>
      </c>
      <c r="G42" s="42" t="s">
        <v>101</v>
      </c>
      <c r="H42" s="42" t="s">
        <v>101</v>
      </c>
    </row>
    <row r="43" spans="1:12" s="22" customFormat="1" ht="28.5">
      <c r="A43" s="39">
        <f>A42+1</f>
        <v>35</v>
      </c>
      <c r="B43" s="39" t="s">
        <v>45</v>
      </c>
      <c r="C43" s="40">
        <v>1</v>
      </c>
      <c r="D43" s="39" t="s">
        <v>67</v>
      </c>
      <c r="E43" s="41" t="s">
        <v>102</v>
      </c>
      <c r="F43" s="39" t="s">
        <v>108</v>
      </c>
      <c r="G43" s="39" t="s">
        <v>102</v>
      </c>
      <c r="H43" s="39" t="s">
        <v>130</v>
      </c>
    </row>
    <row r="44" spans="1:12" s="22" customFormat="1" ht="14.25">
      <c r="A44" s="42">
        <f>A43+1</f>
        <v>36</v>
      </c>
      <c r="B44" s="42" t="s">
        <v>46</v>
      </c>
      <c r="C44" s="43">
        <v>1</v>
      </c>
      <c r="D44" s="42" t="s">
        <v>68</v>
      </c>
      <c r="E44" s="44" t="s">
        <v>103</v>
      </c>
      <c r="F44" s="42" t="s">
        <v>105</v>
      </c>
      <c r="G44" s="42" t="s">
        <v>105</v>
      </c>
      <c r="H44" s="42" t="s">
        <v>131</v>
      </c>
    </row>
    <row r="45" spans="1:12" s="22" customFormat="1" ht="15">
      <c r="B45" s="23"/>
      <c r="C45" s="23"/>
      <c r="D45" s="24"/>
      <c r="E45" s="25"/>
      <c r="F45" s="23"/>
      <c r="G45" s="23"/>
      <c r="H45" s="23"/>
      <c r="I45" s="23"/>
      <c r="J45" s="26"/>
      <c r="K45" s="26"/>
      <c r="L45" s="26"/>
    </row>
    <row r="46" spans="1:12" ht="15.75">
      <c r="B46" s="20" t="s">
        <v>4</v>
      </c>
      <c r="C46" s="15">
        <f>SUM($C$9:C44)</f>
        <v>74</v>
      </c>
      <c r="E46" s="17"/>
      <c r="F46" s="16"/>
      <c r="G46" s="16"/>
      <c r="H46" s="16"/>
      <c r="I46" s="16"/>
      <c r="J46" s="18"/>
      <c r="K46" s="19"/>
    </row>
    <row r="47" spans="1:12">
      <c r="B47" s="5"/>
      <c r="C47" s="5"/>
      <c r="E47" s="38"/>
      <c r="J47" s="2"/>
    </row>
    <row r="48" spans="1:12">
      <c r="K48" s="3"/>
    </row>
    <row r="49" spans="10:11" ht="20.25">
      <c r="J49" s="7"/>
      <c r="K49" s="4"/>
    </row>
  </sheetData>
  <mergeCells count="2">
    <mergeCell ref="F1:H5"/>
    <mergeCell ref="F6:H7"/>
  </mergeCells>
  <phoneticPr fontId="2" type="noConversion"/>
  <conditionalFormatting sqref="A8:D8 F8:G8">
    <cfRule type="cellIs" dxfId="1" priority="6" stopIfTrue="1" operator="equal">
      <formula>"NO"</formula>
    </cfRule>
  </conditionalFormatting>
  <conditionalFormatting sqref="H8">
    <cfRule type="cellIs" dxfId="0" priority="1" stopIfTrue="1" operator="equal">
      <formula>"NO"</formula>
    </cfRule>
  </conditionalFormatting>
  <pageMargins left="0.75" right="0.75" top="1" bottom="1" header="0" footer="0"/>
  <pageSetup paperSize="9" scale="97" orientation="landscape" blackAndWhite="1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BOM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Rap69</cp:lastModifiedBy>
  <cp:lastPrinted>2005-05-19T06:05:32Z</cp:lastPrinted>
  <dcterms:created xsi:type="dcterms:W3CDTF">2004-05-26T01:39:55Z</dcterms:created>
  <dcterms:modified xsi:type="dcterms:W3CDTF">2024-03-23T15:35:53Z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2057040473</vt:i4>
  </property>
  <property fmtid="{D5CDD505-2E9C-101B-9397-08002B2CF9AE}" pid="3" name="_EmailSubject">
    <vt:lpwstr>BOM Example</vt:lpwstr>
  </property>
  <property fmtid="{D5CDD505-2E9C-101B-9397-08002B2CF9AE}" pid="4" name="_AuthorEmail">
    <vt:lpwstr>ehsan.amiri@altium.com</vt:lpwstr>
  </property>
  <property fmtid="{D5CDD505-2E9C-101B-9397-08002B2CF9AE}" pid="5" name="_AuthorEmailDisplayName">
    <vt:lpwstr>Ehsan Amiri</vt:lpwstr>
  </property>
  <property fmtid="{D5CDD505-2E9C-101B-9397-08002B2CF9AE}" pid="6" name="_PreviousAdHocReviewCycleID">
    <vt:i4>-234167776</vt:i4>
  </property>
  <property fmtid="{D5CDD505-2E9C-101B-9397-08002B2CF9AE}" pid="7" name="_ReviewingToolsShownOnce">
    <vt:lpwstr/>
  </property>
</Properties>
</file>